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ncienergies.sharepoint.com/sites/GO-PlanificationPMO/Documents partages/General/Macro MSP/"/>
    </mc:Choice>
  </mc:AlternateContent>
  <xr:revisionPtr revIDLastSave="13" documentId="8_{5C52A938-2524-42E8-A1CB-26334CD2271E}" xr6:coauthVersionLast="47" xr6:coauthVersionMax="47" xr10:uidLastSave="{E0F80F1A-A7E6-455A-A394-300A89FE1CB4}"/>
  <bookViews>
    <workbookView xWindow="-120" yWindow="-120" windowWidth="29040" windowHeight="15720" xr2:uid="{9331C00A-6C2E-47B4-B390-95E50CABFF59}"/>
  </bookViews>
  <sheets>
    <sheet name="Feuil1" sheetId="1" r:id="rId1"/>
  </sheets>
  <externalReferences>
    <externalReference r:id="rId2"/>
  </externalReferences>
  <definedNames>
    <definedName name="HJR">[1]FA!$L$6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5" i="1"/>
  <c r="E5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C8" i="1"/>
  <c r="J8" i="1" s="1"/>
  <c r="C7" i="1"/>
  <c r="J7" i="1" s="1"/>
  <c r="C6" i="1"/>
  <c r="J6" i="1" s="1"/>
  <c r="C5" i="1"/>
  <c r="I5" i="1" s="1"/>
  <c r="J4" i="1"/>
  <c r="I4" i="1"/>
  <c r="J3" i="1"/>
  <c r="I3" i="1"/>
  <c r="J5" i="1" l="1"/>
  <c r="J2" i="1" s="1"/>
  <c r="I8" i="1"/>
  <c r="I6" i="1"/>
  <c r="I7" i="1"/>
  <c r="I2" i="1" l="1"/>
</calcChain>
</file>

<file path=xl/sharedStrings.xml><?xml version="1.0" encoding="utf-8"?>
<sst xmlns="http://schemas.openxmlformats.org/spreadsheetml/2006/main" count="86" uniqueCount="49">
  <si>
    <t>MONTEURS</t>
  </si>
  <si>
    <t>Unités</t>
  </si>
  <si>
    <t>QTITES TOT</t>
  </si>
  <si>
    <t>REND/JR</t>
  </si>
  <si>
    <t>NBRE VINCI</t>
  </si>
  <si>
    <t>NBRE INT</t>
  </si>
  <si>
    <t>H VINCI</t>
  </si>
  <si>
    <t>H INT</t>
  </si>
  <si>
    <t>GENERALITES (encadrement, base de vie, rangement….)</t>
  </si>
  <si>
    <t>Ft</t>
  </si>
  <si>
    <t>Zone PV02 - 17388 modules</t>
  </si>
  <si>
    <t>Cablage BT</t>
  </si>
  <si>
    <t>Pose de câble 1x6mm2</t>
  </si>
  <si>
    <t>Pose de câble 1x10mm2</t>
  </si>
  <si>
    <t>Travaux de finition de câblage</t>
  </si>
  <si>
    <t>Mise en place de gaine antiUV</t>
  </si>
  <si>
    <t>MALT et raccordements</t>
  </si>
  <si>
    <t>Raccordement des modules entre eux</t>
  </si>
  <si>
    <t>Colsonnage des câbles de modules et des câbles</t>
  </si>
  <si>
    <t>Joint de carrossier protection</t>
  </si>
  <si>
    <t>Fourniture de connecteurs type MC4 (pour 50% du parc)</t>
  </si>
  <si>
    <t>Fourniture de connecteurs type MC4 section DC 10 mm² (pour 100% du parc, Fourniture côté module + onduleur)</t>
  </si>
  <si>
    <t>Pose de connecteurs type MC4 (pour 100% du parc)</t>
  </si>
  <si>
    <t>Mise à la terre des structures une à une</t>
  </si>
  <si>
    <t>Mise à la terre des pieds de poteaux</t>
  </si>
  <si>
    <t>Mise à la terre des BJ</t>
  </si>
  <si>
    <t>Onduleurs et coffrets</t>
  </si>
  <si>
    <t>Raccordement de l'onduleur côté solaire y compris arrivée des câbles et remontées</t>
  </si>
  <si>
    <t>Fourniture et pose de jupes sous BJ ou onduleurs pour protection câbles</t>
  </si>
  <si>
    <t>Fourniture BJ 14 entrées</t>
  </si>
  <si>
    <t>Fourniture BJ 15 entrées</t>
  </si>
  <si>
    <t>Fourniture BJ 16 entrées</t>
  </si>
  <si>
    <t>Fourniture BJ 17 entrées</t>
  </si>
  <si>
    <t>Fourniture et pose de remontées de CDC pour BJ/OND et fixation des câbles</t>
  </si>
  <si>
    <t>Raccordement de la boite de jonction côté DC</t>
  </si>
  <si>
    <t>Raccordement de la boite de jonction côté solaire y compris arrivée des câbles et remontées</t>
  </si>
  <si>
    <t>Raccordements HT et FO</t>
  </si>
  <si>
    <t>Pénétration des câbles dans PTR et PDL</t>
  </si>
  <si>
    <t>Raccordement des câbles alu dans PTR y compris fourniture des cosses</t>
  </si>
  <si>
    <t>Mise en service et essais</t>
  </si>
  <si>
    <t>Tests isolement et continuité DC strings CEI EN62446</t>
  </si>
  <si>
    <t>Tests isolement et continuité DC BJ</t>
  </si>
  <si>
    <t>Vérification de la continuité de terre des structures ligne à ligne</t>
  </si>
  <si>
    <t>MISE EN SERVICE et ESSAIS</t>
  </si>
  <si>
    <t>Préco</t>
  </si>
  <si>
    <t>Levée réserves</t>
  </si>
  <si>
    <t>MES</t>
  </si>
  <si>
    <t>nb personnes</t>
  </si>
  <si>
    <t>Heures Budgetées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</si>
</sst>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h&quot;"/>
  </numFmts>
  <fonts count="5">
    <font>
      <sz val="11"/>
      <color theme="1"/>
      <name val="Aptos Narrow"/>
      <family val="2"/>
      <scheme val="minor"/>
    </font>
    <font>
      <b/>
      <sz val="11"/>
      <color theme="1"/>
      <name val="Vinci Sans Light"/>
      <family val="3"/>
    </font>
    <font>
      <sz val="11"/>
      <color theme="1"/>
      <name val="Vinci Sans Light"/>
      <family val="3"/>
    </font>
    <font>
      <sz val="10"/>
      <color rgb="FFFFFFFF"/>
      <name val="Vinci Sans Medium"/>
      <family val="3"/>
    </font>
    <font>
      <sz val="10"/>
      <color rgb="FF000000"/>
      <name val="Vinci Sans Light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8"/>
      </left>
      <right/>
      <top style="hair">
        <color theme="8"/>
      </top>
      <bottom style="hair">
        <color theme="8"/>
      </bottom>
      <diagonal/>
    </border>
    <border>
      <left/>
      <right/>
      <top/>
      <bottom style="hair">
        <color theme="8"/>
      </bottom>
      <diagonal/>
    </border>
    <border>
      <left/>
      <right/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2" fillId="5" borderId="4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1" fillId="4" borderId="3" xfId="0" applyFont="1" applyFill="1" applyBorder="1"/>
    <xf numFmtId="164" fontId="2" fillId="8" borderId="4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i\Downloads\AUC1002-0-PB-VE%20BUDGET%20-%20JUILLET%202025.xlsx" TargetMode="External"/><Relationship Id="rId1" Type="http://schemas.openxmlformats.org/officeDocument/2006/relationships/externalLinkPath" Target="file:///C:\Users\Antoi\Downloads\AUC1002-0-PB-VE%20BUDGET%20-%20JUILL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FOURNITURE"/>
      <sheetName val="SST"/>
      <sheetName val="DEPENSES"/>
      <sheetName val="Header"/>
      <sheetName val="BudgetVE"/>
      <sheetName val="Feuil1"/>
    </sheetNames>
    <sheetDataSet>
      <sheetData sheetId="0">
        <row r="6">
          <cell r="L6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C5B6-FA23-489E-8B00-A8A7E0F6749C}">
  <dimension ref="A1:J41"/>
  <sheetViews>
    <sheetView tabSelected="1" zoomScale="89" workbookViewId="0">
      <selection activeCell="H16" sqref="H16"/>
    </sheetView>
  </sheetViews>
  <sheetFormatPr baseColWidth="10" defaultRowHeight="15"/>
  <cols>
    <col min="1" max="1" width="142.42578125" bestFit="1" customWidth="1"/>
    <col min="3" max="3" width="14.140625" bestFit="1" customWidth="1"/>
    <col min="5" max="5" width="18.28515625" customWidth="1"/>
    <col min="6" max="6" width="22.140625" bestFit="1" customWidth="1"/>
    <col min="7" max="7" width="14.140625" bestFit="1" customWidth="1"/>
    <col min="9" max="10" width="12.85546875" bestFit="1" customWidth="1"/>
  </cols>
  <sheetData>
    <row r="1" spans="1:10" ht="1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47</v>
      </c>
      <c r="F1" s="2" t="s">
        <v>48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16.5" thickBot="1">
      <c r="A2" s="3" t="s">
        <v>8</v>
      </c>
      <c r="B2" s="4"/>
      <c r="C2" s="4"/>
      <c r="D2" s="4"/>
      <c r="E2" s="4"/>
      <c r="F2" s="4"/>
      <c r="G2" s="4"/>
      <c r="H2" s="4"/>
      <c r="I2" s="5">
        <f>SUM(I3:I41)</f>
        <v>1375.8618643990928</v>
      </c>
      <c r="J2" s="5">
        <f>SUM(J3:J41)</f>
        <v>661.87559920634908</v>
      </c>
    </row>
    <row r="3" spans="1:10">
      <c r="A3" s="13" t="s">
        <v>10</v>
      </c>
      <c r="B3" s="9" t="s">
        <v>9</v>
      </c>
      <c r="C3" s="10"/>
      <c r="D3" s="11"/>
      <c r="E3" s="11"/>
      <c r="F3" s="11"/>
      <c r="G3" s="11"/>
      <c r="H3" s="11"/>
      <c r="I3" s="12" t="str">
        <f t="shared" ref="I3:I37" si="0">IF(C3="","",C3/D3*G3*HJR)</f>
        <v/>
      </c>
      <c r="J3" s="12" t="str">
        <f t="shared" ref="J3:J37" si="1">IF(C3="","",C3/D3*H3*HJR)</f>
        <v/>
      </c>
    </row>
    <row r="4" spans="1:10" ht="15.75">
      <c r="A4" s="14" t="s">
        <v>11</v>
      </c>
      <c r="B4" s="9" t="s">
        <v>9</v>
      </c>
      <c r="C4" s="10"/>
      <c r="D4" s="11"/>
      <c r="E4" s="11"/>
      <c r="F4" s="11"/>
      <c r="G4" s="11"/>
      <c r="H4" s="11"/>
      <c r="I4" s="12" t="str">
        <f t="shared" ref="I4" si="2">IF(C4="","",C4/D4*G4*HJR)</f>
        <v/>
      </c>
      <c r="J4" s="12" t="str">
        <f t="shared" ref="J4" si="3">IF(C4="","",C4/D4*H4*HJR)</f>
        <v/>
      </c>
    </row>
    <row r="5" spans="1:10">
      <c r="A5" s="8" t="s">
        <v>12</v>
      </c>
      <c r="B5" s="9" t="s">
        <v>9</v>
      </c>
      <c r="C5" s="10">
        <f>80458.4022*0.357142857142857</f>
        <v>28735.143642857129</v>
      </c>
      <c r="D5" s="10">
        <v>5859.373863300174</v>
      </c>
      <c r="E5" s="10">
        <f>G5+H5</f>
        <v>3</v>
      </c>
      <c r="F5" s="10">
        <f>I5+J5</f>
        <v>132.4115675937021</v>
      </c>
      <c r="G5" s="11">
        <v>1</v>
      </c>
      <c r="H5" s="11">
        <v>2</v>
      </c>
      <c r="I5" s="12">
        <f t="shared" si="0"/>
        <v>44.137189197900703</v>
      </c>
      <c r="J5" s="12">
        <f t="shared" si="1"/>
        <v>88.274378395801406</v>
      </c>
    </row>
    <row r="6" spans="1:10">
      <c r="A6" s="8" t="s">
        <v>13</v>
      </c>
      <c r="B6" s="9" t="s">
        <v>9</v>
      </c>
      <c r="C6" s="10">
        <f>145090.6028*0.357142857142857</f>
        <v>51818.072428571402</v>
      </c>
      <c r="D6" s="10">
        <v>5859.373863300174</v>
      </c>
      <c r="E6" s="10">
        <f t="shared" ref="E6:E41" si="4">G6+H6</f>
        <v>3</v>
      </c>
      <c r="F6" s="10">
        <f t="shared" ref="F6:F41" si="5">I6+J6</f>
        <v>238.77772407296436</v>
      </c>
      <c r="G6" s="11">
        <v>1</v>
      </c>
      <c r="H6" s="11">
        <v>2</v>
      </c>
      <c r="I6" s="12">
        <f t="shared" si="0"/>
        <v>79.592574690988116</v>
      </c>
      <c r="J6" s="12">
        <f t="shared" si="1"/>
        <v>159.18514938197623</v>
      </c>
    </row>
    <row r="7" spans="1:10">
      <c r="A7" s="8" t="s">
        <v>14</v>
      </c>
      <c r="B7" s="9" t="s">
        <v>9</v>
      </c>
      <c r="C7" s="10">
        <f>1*0.357142857142857</f>
        <v>0.35714285714285698</v>
      </c>
      <c r="D7" s="11">
        <v>0.05</v>
      </c>
      <c r="E7" s="10">
        <f t="shared" si="4"/>
        <v>2</v>
      </c>
      <c r="F7" s="10">
        <f t="shared" si="5"/>
        <v>128.57142857142853</v>
      </c>
      <c r="G7" s="11">
        <v>1</v>
      </c>
      <c r="H7" s="11">
        <v>1</v>
      </c>
      <c r="I7" s="12">
        <f t="shared" si="0"/>
        <v>64.285714285714263</v>
      </c>
      <c r="J7" s="12">
        <f t="shared" si="1"/>
        <v>64.285714285714263</v>
      </c>
    </row>
    <row r="8" spans="1:10">
      <c r="A8" s="8" t="s">
        <v>15</v>
      </c>
      <c r="B8" s="9" t="s">
        <v>9</v>
      </c>
      <c r="C8" s="10">
        <f>408*0.357142857142857</f>
        <v>145.71428571428564</v>
      </c>
      <c r="D8" s="10">
        <v>180</v>
      </c>
      <c r="E8" s="10">
        <f t="shared" si="4"/>
        <v>1</v>
      </c>
      <c r="F8" s="10">
        <f t="shared" si="5"/>
        <v>7.285714285714282</v>
      </c>
      <c r="G8" s="11">
        <v>1</v>
      </c>
      <c r="H8" s="11">
        <v>0</v>
      </c>
      <c r="I8" s="12">
        <f t="shared" ref="I8:I15" si="6">IF(C8="","",C8/D8*G8*HJR)</f>
        <v>7.285714285714282</v>
      </c>
      <c r="J8" s="12">
        <f t="shared" ref="J8:J15" si="7">IF(C8="","",C8/D8*H8*HJR)</f>
        <v>0</v>
      </c>
    </row>
    <row r="9" spans="1:10" ht="15.75">
      <c r="A9" s="14" t="s">
        <v>16</v>
      </c>
      <c r="B9" s="9" t="s">
        <v>9</v>
      </c>
      <c r="C9" s="10"/>
      <c r="D9" s="10"/>
      <c r="E9" s="10">
        <f t="shared" si="4"/>
        <v>0</v>
      </c>
      <c r="F9" s="10" t="e">
        <f t="shared" si="5"/>
        <v>#VALUE!</v>
      </c>
      <c r="G9" s="11"/>
      <c r="H9" s="11"/>
      <c r="I9" s="12" t="str">
        <f t="shared" si="6"/>
        <v/>
      </c>
      <c r="J9" s="12" t="str">
        <f t="shared" si="7"/>
        <v/>
      </c>
    </row>
    <row r="10" spans="1:10">
      <c r="A10" s="8" t="s">
        <v>17</v>
      </c>
      <c r="B10" s="9" t="s">
        <v>9</v>
      </c>
      <c r="C10" s="10">
        <v>16441.071428571428</v>
      </c>
      <c r="D10" s="10">
        <v>700</v>
      </c>
      <c r="E10" s="10">
        <f t="shared" si="4"/>
        <v>1</v>
      </c>
      <c r="F10" s="10">
        <f t="shared" si="5"/>
        <v>211.38520408163265</v>
      </c>
      <c r="G10" s="11">
        <v>1</v>
      </c>
      <c r="H10" s="11"/>
      <c r="I10" s="12">
        <f t="shared" si="6"/>
        <v>211.38520408163265</v>
      </c>
      <c r="J10" s="12">
        <f t="shared" si="7"/>
        <v>0</v>
      </c>
    </row>
    <row r="11" spans="1:10">
      <c r="A11" s="8" t="s">
        <v>18</v>
      </c>
      <c r="B11" s="9" t="s">
        <v>9</v>
      </c>
      <c r="C11" s="10">
        <v>24661.607142857145</v>
      </c>
      <c r="D11" s="10">
        <v>900</v>
      </c>
      <c r="E11" s="10">
        <f t="shared" si="4"/>
        <v>1</v>
      </c>
      <c r="F11" s="10">
        <f t="shared" si="5"/>
        <v>246.61607142857144</v>
      </c>
      <c r="G11" s="11"/>
      <c r="H11" s="11">
        <v>1</v>
      </c>
      <c r="I11" s="12">
        <f t="shared" si="6"/>
        <v>0</v>
      </c>
      <c r="J11" s="12">
        <f t="shared" si="7"/>
        <v>246.61607142857144</v>
      </c>
    </row>
    <row r="12" spans="1:10">
      <c r="A12" s="8" t="s">
        <v>19</v>
      </c>
      <c r="B12" s="9" t="s">
        <v>9</v>
      </c>
      <c r="C12" s="10">
        <v>217.5</v>
      </c>
      <c r="D12" s="10">
        <v>900</v>
      </c>
      <c r="E12" s="10">
        <f t="shared" si="4"/>
        <v>1</v>
      </c>
      <c r="F12" s="10">
        <f t="shared" si="5"/>
        <v>2.1749999999999998</v>
      </c>
      <c r="G12" s="11">
        <v>0</v>
      </c>
      <c r="H12" s="11">
        <v>1</v>
      </c>
      <c r="I12" s="12">
        <f t="shared" si="6"/>
        <v>0</v>
      </c>
      <c r="J12" s="12">
        <f t="shared" si="7"/>
        <v>2.1749999999999998</v>
      </c>
    </row>
    <row r="13" spans="1:10">
      <c r="A13" s="8" t="s">
        <v>20</v>
      </c>
      <c r="B13" s="9" t="s">
        <v>9</v>
      </c>
      <c r="C13" s="10">
        <v>920.96428571428567</v>
      </c>
      <c r="D13" s="10">
        <v>120</v>
      </c>
      <c r="E13" s="10">
        <f t="shared" si="4"/>
        <v>1</v>
      </c>
      <c r="F13" s="10">
        <f t="shared" si="5"/>
        <v>69.072321428571428</v>
      </c>
      <c r="G13" s="11">
        <v>1</v>
      </c>
      <c r="H13" s="11"/>
      <c r="I13" s="12">
        <f t="shared" si="6"/>
        <v>69.072321428571428</v>
      </c>
      <c r="J13" s="12">
        <f t="shared" si="7"/>
        <v>0</v>
      </c>
    </row>
    <row r="14" spans="1:10">
      <c r="A14" s="8" t="s">
        <v>21</v>
      </c>
      <c r="B14" s="9" t="s">
        <v>9</v>
      </c>
      <c r="C14" s="10">
        <v>1290.9285714285716</v>
      </c>
      <c r="D14" s="10">
        <v>120</v>
      </c>
      <c r="E14" s="10">
        <f t="shared" si="4"/>
        <v>1</v>
      </c>
      <c r="F14" s="10">
        <f t="shared" si="5"/>
        <v>96.819642857142867</v>
      </c>
      <c r="G14" s="11">
        <v>1</v>
      </c>
      <c r="H14" s="11"/>
      <c r="I14" s="12">
        <f t="shared" si="6"/>
        <v>96.819642857142867</v>
      </c>
      <c r="J14" s="12">
        <f t="shared" si="7"/>
        <v>0</v>
      </c>
    </row>
    <row r="15" spans="1:10">
      <c r="A15" s="8" t="s">
        <v>22</v>
      </c>
      <c r="B15" s="9" t="s">
        <v>9</v>
      </c>
      <c r="C15" s="10">
        <v>2435.7142857142858</v>
      </c>
      <c r="D15" s="10">
        <v>120</v>
      </c>
      <c r="E15" s="10">
        <f t="shared" si="4"/>
        <v>1</v>
      </c>
      <c r="F15" s="10">
        <f t="shared" si="5"/>
        <v>182.67857142857142</v>
      </c>
      <c r="G15" s="11">
        <v>1</v>
      </c>
      <c r="H15" s="11"/>
      <c r="I15" s="12">
        <f t="shared" si="6"/>
        <v>182.67857142857142</v>
      </c>
      <c r="J15" s="12">
        <f t="shared" si="7"/>
        <v>0</v>
      </c>
    </row>
    <row r="16" spans="1:10">
      <c r="A16" s="8" t="s">
        <v>23</v>
      </c>
      <c r="B16" s="9" t="s">
        <v>9</v>
      </c>
      <c r="C16" s="10">
        <v>172.5</v>
      </c>
      <c r="D16" s="10">
        <v>32</v>
      </c>
      <c r="E16" s="10">
        <f t="shared" si="4"/>
        <v>1</v>
      </c>
      <c r="F16" s="10">
        <f t="shared" si="5"/>
        <v>48.515625</v>
      </c>
      <c r="G16" s="11">
        <v>1</v>
      </c>
      <c r="H16" s="11"/>
      <c r="I16" s="15">
        <f t="shared" si="0"/>
        <v>48.515625</v>
      </c>
      <c r="J16" s="12">
        <f t="shared" si="1"/>
        <v>0</v>
      </c>
    </row>
    <row r="17" spans="1:10">
      <c r="A17" s="8" t="s">
        <v>24</v>
      </c>
      <c r="B17" s="9" t="s">
        <v>9</v>
      </c>
      <c r="C17" s="10">
        <v>45</v>
      </c>
      <c r="D17" s="10">
        <v>80</v>
      </c>
      <c r="E17" s="10">
        <f t="shared" si="4"/>
        <v>1</v>
      </c>
      <c r="F17" s="10">
        <f t="shared" si="5"/>
        <v>5.0625</v>
      </c>
      <c r="G17" s="11">
        <v>1</v>
      </c>
      <c r="H17" s="11"/>
      <c r="I17" s="12">
        <f t="shared" si="0"/>
        <v>5.0625</v>
      </c>
      <c r="J17" s="12">
        <f t="shared" si="1"/>
        <v>0</v>
      </c>
    </row>
    <row r="18" spans="1:10">
      <c r="A18" s="8" t="s">
        <v>25</v>
      </c>
      <c r="B18" s="9" t="s">
        <v>9</v>
      </c>
      <c r="C18" s="10">
        <v>39.285714285714285</v>
      </c>
      <c r="D18" s="10">
        <v>18</v>
      </c>
      <c r="E18" s="10">
        <f t="shared" si="4"/>
        <v>1</v>
      </c>
      <c r="F18" s="10">
        <f t="shared" si="5"/>
        <v>19.642857142857142</v>
      </c>
      <c r="G18" s="11">
        <v>1</v>
      </c>
      <c r="H18" s="11"/>
      <c r="I18" s="12">
        <f t="shared" si="0"/>
        <v>19.642857142857142</v>
      </c>
      <c r="J18" s="12">
        <f t="shared" si="1"/>
        <v>0</v>
      </c>
    </row>
    <row r="19" spans="1:10" ht="15.75">
      <c r="A19" s="14" t="s">
        <v>26</v>
      </c>
      <c r="B19" s="9" t="s">
        <v>9</v>
      </c>
      <c r="C19" s="10"/>
      <c r="D19" s="10"/>
      <c r="E19" s="10">
        <f t="shared" si="4"/>
        <v>0</v>
      </c>
      <c r="F19" s="10" t="e">
        <f t="shared" si="5"/>
        <v>#VALUE!</v>
      </c>
      <c r="G19" s="11"/>
      <c r="H19" s="11"/>
      <c r="I19" s="12" t="str">
        <f t="shared" si="0"/>
        <v/>
      </c>
      <c r="J19" s="12" t="str">
        <f t="shared" si="1"/>
        <v/>
      </c>
    </row>
    <row r="20" spans="1:10">
      <c r="A20" s="8" t="s">
        <v>27</v>
      </c>
      <c r="B20" s="9" t="s">
        <v>9</v>
      </c>
      <c r="C20" s="10">
        <v>1.7857142857142858</v>
      </c>
      <c r="D20" s="10">
        <v>12</v>
      </c>
      <c r="E20" s="10">
        <f t="shared" si="4"/>
        <v>1</v>
      </c>
      <c r="F20" s="10">
        <f t="shared" si="5"/>
        <v>1.3392857142857142</v>
      </c>
      <c r="G20" s="11">
        <v>1</v>
      </c>
      <c r="H20" s="11"/>
      <c r="I20" s="12">
        <f t="shared" si="0"/>
        <v>1.3392857142857142</v>
      </c>
      <c r="J20" s="12">
        <f t="shared" si="1"/>
        <v>0</v>
      </c>
    </row>
    <row r="21" spans="1:10">
      <c r="A21" s="8" t="s">
        <v>28</v>
      </c>
      <c r="B21" s="9" t="s">
        <v>9</v>
      </c>
      <c r="C21" s="10">
        <v>39.642857142857146</v>
      </c>
      <c r="D21" s="10">
        <v>12</v>
      </c>
      <c r="E21" s="10">
        <f t="shared" si="4"/>
        <v>2</v>
      </c>
      <c r="F21" s="10">
        <f t="shared" si="5"/>
        <v>59.464285714285722</v>
      </c>
      <c r="G21" s="11">
        <v>1</v>
      </c>
      <c r="H21" s="11">
        <v>1</v>
      </c>
      <c r="I21" s="12">
        <f t="shared" si="0"/>
        <v>29.732142857142861</v>
      </c>
      <c r="J21" s="12">
        <f t="shared" si="1"/>
        <v>29.732142857142861</v>
      </c>
    </row>
    <row r="22" spans="1:10">
      <c r="A22" s="8" t="s">
        <v>29</v>
      </c>
      <c r="B22" s="9" t="s">
        <v>9</v>
      </c>
      <c r="C22" s="10">
        <v>4.6428571428571432</v>
      </c>
      <c r="D22" s="10">
        <v>18</v>
      </c>
      <c r="E22" s="10">
        <f t="shared" si="4"/>
        <v>2</v>
      </c>
      <c r="F22" s="10">
        <f t="shared" si="5"/>
        <v>4.6428571428571432</v>
      </c>
      <c r="G22" s="11">
        <v>1</v>
      </c>
      <c r="H22" s="11">
        <v>1</v>
      </c>
      <c r="I22" s="12">
        <f t="shared" si="0"/>
        <v>2.3214285714285716</v>
      </c>
      <c r="J22" s="12">
        <f t="shared" si="1"/>
        <v>2.3214285714285716</v>
      </c>
    </row>
    <row r="23" spans="1:10">
      <c r="A23" s="8" t="s">
        <v>30</v>
      </c>
      <c r="B23" s="9" t="s">
        <v>9</v>
      </c>
      <c r="C23" s="10">
        <v>18.214285714285715</v>
      </c>
      <c r="D23" s="10">
        <v>18</v>
      </c>
      <c r="E23" s="10">
        <f t="shared" si="4"/>
        <v>2</v>
      </c>
      <c r="F23" s="10">
        <f t="shared" si="5"/>
        <v>18.214285714285715</v>
      </c>
      <c r="G23" s="11">
        <v>1</v>
      </c>
      <c r="H23" s="11">
        <v>1</v>
      </c>
      <c r="I23" s="12">
        <f t="shared" si="0"/>
        <v>9.1071428571428577</v>
      </c>
      <c r="J23" s="12">
        <f t="shared" si="1"/>
        <v>9.1071428571428577</v>
      </c>
    </row>
    <row r="24" spans="1:10">
      <c r="A24" s="8" t="s">
        <v>31</v>
      </c>
      <c r="B24" s="9" t="s">
        <v>9</v>
      </c>
      <c r="C24" s="10">
        <v>8.5714285714285712</v>
      </c>
      <c r="D24" s="10">
        <v>18</v>
      </c>
      <c r="E24" s="10">
        <f t="shared" si="4"/>
        <v>2</v>
      </c>
      <c r="F24" s="10">
        <f t="shared" si="5"/>
        <v>8.5714285714285712</v>
      </c>
      <c r="G24" s="11">
        <v>1</v>
      </c>
      <c r="H24" s="11">
        <v>1</v>
      </c>
      <c r="I24" s="12">
        <f t="shared" si="0"/>
        <v>4.2857142857142856</v>
      </c>
      <c r="J24" s="12">
        <f t="shared" si="1"/>
        <v>4.2857142857142856</v>
      </c>
    </row>
    <row r="25" spans="1:10">
      <c r="A25" s="8" t="s">
        <v>32</v>
      </c>
      <c r="B25" s="9" t="s">
        <v>9</v>
      </c>
      <c r="C25" s="10">
        <v>7.8571428571428577</v>
      </c>
      <c r="D25" s="10">
        <v>18</v>
      </c>
      <c r="E25" s="10">
        <f t="shared" si="4"/>
        <v>2</v>
      </c>
      <c r="F25" s="10">
        <f t="shared" si="5"/>
        <v>7.8571428571428577</v>
      </c>
      <c r="G25" s="11">
        <v>1</v>
      </c>
      <c r="H25" s="11">
        <v>1</v>
      </c>
      <c r="I25" s="12">
        <f t="shared" si="0"/>
        <v>3.9285714285714288</v>
      </c>
      <c r="J25" s="12">
        <f t="shared" si="1"/>
        <v>3.9285714285714288</v>
      </c>
    </row>
    <row r="26" spans="1:10">
      <c r="A26" s="8" t="s">
        <v>33</v>
      </c>
      <c r="B26" s="9" t="s">
        <v>9</v>
      </c>
      <c r="C26" s="10">
        <v>39.285714285714285</v>
      </c>
      <c r="D26" s="10">
        <v>50</v>
      </c>
      <c r="E26" s="10">
        <f t="shared" si="4"/>
        <v>1</v>
      </c>
      <c r="F26" s="10">
        <f t="shared" si="5"/>
        <v>7.0714285714285712</v>
      </c>
      <c r="G26" s="11">
        <v>1</v>
      </c>
      <c r="H26" s="11"/>
      <c r="I26" s="12">
        <f t="shared" si="0"/>
        <v>7.0714285714285712</v>
      </c>
      <c r="J26" s="12">
        <f t="shared" si="1"/>
        <v>0</v>
      </c>
    </row>
    <row r="27" spans="1:10">
      <c r="A27" s="8" t="s">
        <v>34</v>
      </c>
      <c r="B27" s="9" t="s">
        <v>9</v>
      </c>
      <c r="C27" s="10">
        <v>39.285714285714285</v>
      </c>
      <c r="D27" s="10">
        <v>18</v>
      </c>
      <c r="E27" s="10">
        <f t="shared" si="4"/>
        <v>1</v>
      </c>
      <c r="F27" s="10">
        <f t="shared" si="5"/>
        <v>19.642857142857142</v>
      </c>
      <c r="G27" s="11">
        <v>1</v>
      </c>
      <c r="H27" s="11"/>
      <c r="I27" s="12">
        <f t="shared" si="0"/>
        <v>19.642857142857142</v>
      </c>
      <c r="J27" s="12">
        <f t="shared" si="1"/>
        <v>0</v>
      </c>
    </row>
    <row r="28" spans="1:10">
      <c r="A28" s="8" t="s">
        <v>35</v>
      </c>
      <c r="B28" s="9" t="s">
        <v>9</v>
      </c>
      <c r="C28" s="10">
        <v>39.285714285714285</v>
      </c>
      <c r="D28" s="10">
        <v>9</v>
      </c>
      <c r="E28" s="10">
        <f t="shared" si="4"/>
        <v>1</v>
      </c>
      <c r="F28" s="10">
        <f t="shared" si="5"/>
        <v>39.285714285714285</v>
      </c>
      <c r="G28" s="11">
        <v>1</v>
      </c>
      <c r="H28" s="11"/>
      <c r="I28" s="12">
        <f t="shared" si="0"/>
        <v>39.285714285714285</v>
      </c>
      <c r="J28" s="12">
        <f t="shared" si="1"/>
        <v>0</v>
      </c>
    </row>
    <row r="29" spans="1:10" ht="15.75">
      <c r="A29" s="14" t="s">
        <v>36</v>
      </c>
      <c r="B29" s="9" t="s">
        <v>9</v>
      </c>
      <c r="C29" s="10"/>
      <c r="D29" s="10"/>
      <c r="E29" s="10">
        <f t="shared" si="4"/>
        <v>0</v>
      </c>
      <c r="F29" s="10" t="e">
        <f t="shared" si="5"/>
        <v>#VALUE!</v>
      </c>
      <c r="G29" s="11"/>
      <c r="H29" s="11"/>
      <c r="I29" s="12" t="str">
        <f t="shared" si="0"/>
        <v/>
      </c>
      <c r="J29" s="12" t="str">
        <f t="shared" si="1"/>
        <v/>
      </c>
    </row>
    <row r="30" spans="1:10">
      <c r="A30" s="8" t="s">
        <v>37</v>
      </c>
      <c r="B30" s="9" t="s">
        <v>9</v>
      </c>
      <c r="C30" s="10">
        <v>2.5</v>
      </c>
      <c r="D30" s="10">
        <v>1</v>
      </c>
      <c r="E30" s="10">
        <f t="shared" si="4"/>
        <v>2</v>
      </c>
      <c r="F30" s="10">
        <f t="shared" si="5"/>
        <v>45</v>
      </c>
      <c r="G30" s="11">
        <v>1</v>
      </c>
      <c r="H30" s="11">
        <v>1</v>
      </c>
      <c r="I30" s="12">
        <f>IF(C30="","",C30/D30*G30*HJR)</f>
        <v>22.5</v>
      </c>
      <c r="J30" s="12">
        <f>IF(C30="","",C30/D30*H30*HJR)</f>
        <v>22.5</v>
      </c>
    </row>
    <row r="31" spans="1:10">
      <c r="A31" s="8" t="s">
        <v>38</v>
      </c>
      <c r="B31" s="9" t="s">
        <v>9</v>
      </c>
      <c r="C31" s="10">
        <v>39.285714285714285</v>
      </c>
      <c r="D31" s="10">
        <v>12</v>
      </c>
      <c r="E31" s="10">
        <f t="shared" si="4"/>
        <v>2</v>
      </c>
      <c r="F31" s="10">
        <f t="shared" si="5"/>
        <v>58.928571428571431</v>
      </c>
      <c r="G31" s="11">
        <v>1</v>
      </c>
      <c r="H31" s="11">
        <v>1</v>
      </c>
      <c r="I31" s="12">
        <f>IF(C31="","",C31/D31*G31*HJR)</f>
        <v>29.464285714285715</v>
      </c>
      <c r="J31" s="12">
        <f>IF(C31="","",C31/D31*H31*HJR)</f>
        <v>29.464285714285715</v>
      </c>
    </row>
    <row r="32" spans="1:10" ht="15.75">
      <c r="A32" s="14" t="s">
        <v>39</v>
      </c>
      <c r="B32" s="9" t="s">
        <v>9</v>
      </c>
      <c r="C32" s="10"/>
      <c r="D32" s="10"/>
      <c r="E32" s="10">
        <f t="shared" si="4"/>
        <v>0</v>
      </c>
      <c r="F32" s="10" t="e">
        <f t="shared" si="5"/>
        <v>#VALUE!</v>
      </c>
      <c r="G32" s="11"/>
      <c r="H32" s="11"/>
      <c r="I32" s="12" t="str">
        <f t="shared" si="0"/>
        <v/>
      </c>
      <c r="J32" s="12" t="str">
        <f t="shared" si="1"/>
        <v/>
      </c>
    </row>
    <row r="33" spans="1:10">
      <c r="A33" s="8" t="s">
        <v>40</v>
      </c>
      <c r="B33" s="9" t="s">
        <v>9</v>
      </c>
      <c r="C33" s="10">
        <v>39.285714285714285</v>
      </c>
      <c r="D33" s="10">
        <v>10</v>
      </c>
      <c r="E33" s="10">
        <f t="shared" si="4"/>
        <v>2</v>
      </c>
      <c r="F33" s="10">
        <f t="shared" si="5"/>
        <v>70.714285714285708</v>
      </c>
      <c r="G33" s="11">
        <v>2</v>
      </c>
      <c r="H33" s="11"/>
      <c r="I33" s="12">
        <f t="shared" si="0"/>
        <v>70.714285714285708</v>
      </c>
      <c r="J33" s="12">
        <f t="shared" si="1"/>
        <v>0</v>
      </c>
    </row>
    <row r="34" spans="1:10">
      <c r="A34" s="8" t="s">
        <v>41</v>
      </c>
      <c r="B34" s="9" t="s">
        <v>9</v>
      </c>
      <c r="C34" s="10">
        <v>39.285714285714285</v>
      </c>
      <c r="D34" s="10">
        <v>36</v>
      </c>
      <c r="E34" s="10">
        <f t="shared" si="4"/>
        <v>2</v>
      </c>
      <c r="F34" s="10">
        <f t="shared" si="5"/>
        <v>19.642857142857142</v>
      </c>
      <c r="G34" s="11">
        <v>2</v>
      </c>
      <c r="H34" s="11"/>
      <c r="I34" s="12">
        <f t="shared" si="0"/>
        <v>19.642857142857142</v>
      </c>
      <c r="J34" s="12">
        <f t="shared" si="1"/>
        <v>0</v>
      </c>
    </row>
    <row r="35" spans="1:10">
      <c r="A35" s="8" t="s">
        <v>42</v>
      </c>
      <c r="B35" s="9" t="s">
        <v>9</v>
      </c>
      <c r="C35" s="10">
        <v>10.193464285714285</v>
      </c>
      <c r="D35" s="10">
        <v>10</v>
      </c>
      <c r="E35" s="10">
        <f t="shared" si="4"/>
        <v>2</v>
      </c>
      <c r="F35" s="10">
        <f t="shared" si="5"/>
        <v>18.34823571428571</v>
      </c>
      <c r="G35" s="11">
        <v>2</v>
      </c>
      <c r="H35" s="11"/>
      <c r="I35" s="12">
        <f t="shared" si="0"/>
        <v>18.34823571428571</v>
      </c>
      <c r="J35" s="12">
        <f t="shared" si="1"/>
        <v>0</v>
      </c>
    </row>
    <row r="36" spans="1:10">
      <c r="A36" s="8"/>
      <c r="B36" s="9" t="s">
        <v>9</v>
      </c>
      <c r="C36" s="10"/>
      <c r="D36" s="11"/>
      <c r="E36" s="10">
        <f t="shared" si="4"/>
        <v>0</v>
      </c>
      <c r="F36" s="10" t="e">
        <f t="shared" si="5"/>
        <v>#VALUE!</v>
      </c>
      <c r="G36" s="11"/>
      <c r="H36" s="11"/>
      <c r="I36" s="12" t="str">
        <f t="shared" si="0"/>
        <v/>
      </c>
      <c r="J36" s="12" t="str">
        <f t="shared" si="1"/>
        <v/>
      </c>
    </row>
    <row r="37" spans="1:10" ht="15.75" thickBot="1">
      <c r="A37" s="8"/>
      <c r="B37" s="9" t="s">
        <v>9</v>
      </c>
      <c r="C37" s="10"/>
      <c r="D37" s="11"/>
      <c r="E37" s="10">
        <f t="shared" si="4"/>
        <v>0</v>
      </c>
      <c r="F37" s="10" t="e">
        <f t="shared" si="5"/>
        <v>#VALUE!</v>
      </c>
      <c r="G37" s="11"/>
      <c r="H37" s="11"/>
      <c r="I37" s="12" t="str">
        <f t="shared" si="0"/>
        <v/>
      </c>
      <c r="J37" s="12" t="str">
        <f t="shared" si="1"/>
        <v/>
      </c>
    </row>
    <row r="38" spans="1:10" ht="16.5" thickBot="1">
      <c r="A38" s="3" t="s">
        <v>43</v>
      </c>
      <c r="B38" s="6"/>
      <c r="C38" s="6"/>
      <c r="D38" s="6"/>
      <c r="E38" s="10">
        <f t="shared" si="4"/>
        <v>0</v>
      </c>
      <c r="F38" s="10" t="e">
        <f t="shared" si="5"/>
        <v>#VALUE!</v>
      </c>
      <c r="G38" s="6"/>
      <c r="H38" s="6"/>
      <c r="I38" s="7" t="str">
        <f t="shared" ref="I38:I41" si="8">IF(C38="","",C38/D38*G38*HJR)</f>
        <v/>
      </c>
      <c r="J38" s="7" t="str">
        <f t="shared" ref="J38:J41" si="9">IF(C38="","",C38/D38*H38*HJR)</f>
        <v/>
      </c>
    </row>
    <row r="39" spans="1:10">
      <c r="A39" s="16" t="s">
        <v>44</v>
      </c>
      <c r="B39" s="9" t="s">
        <v>9</v>
      </c>
      <c r="C39" s="10">
        <v>5</v>
      </c>
      <c r="D39" s="11">
        <v>1</v>
      </c>
      <c r="E39" s="10">
        <f t="shared" si="4"/>
        <v>2</v>
      </c>
      <c r="F39" s="10">
        <f t="shared" si="5"/>
        <v>90</v>
      </c>
      <c r="G39" s="11">
        <v>2</v>
      </c>
      <c r="H39" s="11"/>
      <c r="I39" s="12">
        <f t="shared" si="8"/>
        <v>90</v>
      </c>
      <c r="J39" s="12">
        <f t="shared" si="9"/>
        <v>0</v>
      </c>
    </row>
    <row r="40" spans="1:10">
      <c r="A40" s="16" t="s">
        <v>45</v>
      </c>
      <c r="B40" s="9" t="s">
        <v>9</v>
      </c>
      <c r="C40" s="10">
        <v>5</v>
      </c>
      <c r="D40" s="11">
        <v>1</v>
      </c>
      <c r="E40" s="10">
        <f t="shared" si="4"/>
        <v>2</v>
      </c>
      <c r="F40" s="10">
        <f t="shared" si="5"/>
        <v>90</v>
      </c>
      <c r="G40" s="11">
        <v>2</v>
      </c>
      <c r="H40" s="11"/>
      <c r="I40" s="12">
        <f t="shared" si="8"/>
        <v>90</v>
      </c>
      <c r="J40" s="12">
        <f t="shared" si="9"/>
        <v>0</v>
      </c>
    </row>
    <row r="41" spans="1:10">
      <c r="A41" s="16" t="s">
        <v>46</v>
      </c>
      <c r="B41" s="9" t="s">
        <v>9</v>
      </c>
      <c r="C41" s="10">
        <v>5</v>
      </c>
      <c r="D41" s="11">
        <v>1</v>
      </c>
      <c r="E41" s="10">
        <f t="shared" si="4"/>
        <v>2</v>
      </c>
      <c r="F41" s="10">
        <f t="shared" si="5"/>
        <v>90</v>
      </c>
      <c r="G41" s="11">
        <v>2</v>
      </c>
      <c r="H41" s="11"/>
      <c r="I41" s="12">
        <f t="shared" si="8"/>
        <v>90</v>
      </c>
      <c r="J41" s="12">
        <f t="shared" si="9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fce287-bbe8-458f-99f0-e4a5b8dbf56e" xsi:nil="true"/>
    <lcf76f155ced4ddcb4097134ff3c332f xmlns="78db7905-0c55-4e3a-be75-bb96c9822a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D1539AA2AB49B68935BD77BB8E86" ma:contentTypeVersion="14" ma:contentTypeDescription="Crée un document." ma:contentTypeScope="" ma:versionID="44e2299d0578ffbd5f2c7d131b03fa70">
  <xsd:schema xmlns:xsd="http://www.w3.org/2001/XMLSchema" xmlns:xs="http://www.w3.org/2001/XMLSchema" xmlns:p="http://schemas.microsoft.com/office/2006/metadata/properties" xmlns:ns2="78db7905-0c55-4e3a-be75-bb96c9822a2f" xmlns:ns3="f2fce287-bbe8-458f-99f0-e4a5b8dbf56e" targetNamespace="http://schemas.microsoft.com/office/2006/metadata/properties" ma:root="true" ma:fieldsID="19a0df24f9caf414c1628b3f0e68e93f" ns2:_="" ns3:_="">
    <xsd:import namespace="78db7905-0c55-4e3a-be75-bb96c9822a2f"/>
    <xsd:import namespace="f2fce287-bbe8-458f-99f0-e4a5b8db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b7905-0c55-4e3a-be75-bb96c9822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ce287-bbe8-458f-99f0-e4a5b8dbf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a3f74e-546d-4b86-aeaa-eaf3fa61b70a}" ma:internalName="TaxCatchAll" ma:showField="CatchAllData" ma:web="f2fce287-bbe8-458f-99f0-e4a5b8db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CD8CD-830A-4DCF-A949-B205F3A560BA}">
  <ds:schemaRefs>
    <ds:schemaRef ds:uri="http://schemas.microsoft.com/office/2006/metadata/properties"/>
    <ds:schemaRef ds:uri="http://schemas.microsoft.com/office/infopath/2007/PartnerControls"/>
    <ds:schemaRef ds:uri="f2fce287-bbe8-458f-99f0-e4a5b8dbf56e"/>
    <ds:schemaRef ds:uri="78db7905-0c55-4e3a-be75-bb96c9822a2f"/>
  </ds:schemaRefs>
</ds:datastoreItem>
</file>

<file path=customXml/itemProps2.xml><?xml version="1.0" encoding="utf-8"?>
<ds:datastoreItem xmlns:ds="http://schemas.openxmlformats.org/officeDocument/2006/customXml" ds:itemID="{2E657F04-FFF3-4477-9DFD-098F8F8B72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CD6C4-B914-46CB-A377-6CF93BD22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b7905-0c55-4e3a-be75-bb96c9822a2f"/>
    <ds:schemaRef ds:uri="f2fce287-bbe8-458f-99f0-e4a5b8dbf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FRAPPER Antoine</dc:creator>
  <cp:lastModifiedBy>LE FRAPPER Antoine</cp:lastModifiedBy>
  <dcterms:created xsi:type="dcterms:W3CDTF">2025-07-30T12:01:44Z</dcterms:created>
  <dcterms:modified xsi:type="dcterms:W3CDTF">2025-08-02T06:47:53Z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0x010100A748D1539AA2AB49B68935BD77BB8E86</vt:lpwstr>
  </property>
  <property fmtid="{D5CDD505-2E9C-101B-9397-08002B2CF9AE}" pid="3" name="MediaServiceImageTags">
    <vt:lpwstr/>
  </property>
</Properties>
</file>